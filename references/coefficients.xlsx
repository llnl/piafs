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ellnl-my.sharepoint.com/personal/oudin1_llnl_gov/Documents/Biblio/GasOptics/"/>
    </mc:Choice>
  </mc:AlternateContent>
  <xr:revisionPtr revIDLastSave="0" documentId="8_{4008AA79-D590-4363-A3CF-D09D5A7A6C8A}" xr6:coauthVersionLast="47" xr6:coauthVersionMax="47" xr10:uidLastSave="{00000000-0000-0000-0000-000000000000}"/>
  <bookViews>
    <workbookView xWindow="28680" yWindow="-5400" windowWidth="51840" windowHeight="21240" xr2:uid="{8FA63C9D-8F94-4E95-9DB5-42782A900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1" l="1"/>
  <c r="AF22" i="1"/>
  <c r="AD21" i="1"/>
  <c r="AD22" i="1"/>
  <c r="AB21" i="1"/>
  <c r="AB22" i="1"/>
  <c r="U21" i="1"/>
  <c r="AA21" i="1" s="1"/>
  <c r="U22" i="1"/>
  <c r="AA22" i="1" s="1"/>
  <c r="O21" i="1"/>
  <c r="P21" i="1" s="1"/>
  <c r="O22" i="1"/>
  <c r="P22" i="1" s="1"/>
  <c r="O24" i="1"/>
  <c r="O25" i="1"/>
  <c r="P25" i="1" s="1"/>
  <c r="O26" i="1"/>
  <c r="P26" i="1" s="1"/>
  <c r="O27" i="1"/>
  <c r="P27" i="1" s="1"/>
  <c r="I21" i="1"/>
  <c r="I22" i="1"/>
  <c r="I24" i="1"/>
  <c r="I25" i="1"/>
  <c r="I26" i="1"/>
  <c r="I27" i="1"/>
  <c r="I28" i="1"/>
  <c r="O28" i="1" s="1"/>
  <c r="P28" i="1" s="1"/>
  <c r="I23" i="1"/>
  <c r="O23" i="1" s="1"/>
  <c r="M21" i="1"/>
  <c r="M22" i="1"/>
  <c r="M23" i="1"/>
  <c r="Y21" i="1"/>
  <c r="Y22" i="1"/>
  <c r="Y24" i="1"/>
  <c r="Y25" i="1"/>
  <c r="Y26" i="1"/>
  <c r="Y27" i="1"/>
  <c r="Y28" i="1"/>
  <c r="Y23" i="1"/>
  <c r="E21" i="1"/>
  <c r="U33" i="1"/>
  <c r="AA33" i="1" s="1"/>
  <c r="AB33" i="1" s="1"/>
  <c r="U34" i="1"/>
  <c r="AA34" i="1" s="1"/>
  <c r="AB34" i="1" s="1"/>
  <c r="O33" i="1"/>
  <c r="P33" i="1" s="1"/>
  <c r="O34" i="1"/>
  <c r="P34" i="1" s="1"/>
  <c r="I33" i="1"/>
  <c r="I34" i="1"/>
  <c r="E33" i="1"/>
  <c r="E34" i="1"/>
  <c r="Y33" i="1"/>
  <c r="Y34" i="1"/>
  <c r="M33" i="1"/>
  <c r="M34" i="1"/>
  <c r="M8" i="1"/>
  <c r="M9" i="1"/>
  <c r="M11" i="1"/>
  <c r="M12" i="1"/>
  <c r="M13" i="1"/>
  <c r="M14" i="1"/>
  <c r="M15" i="1"/>
  <c r="M10" i="1"/>
  <c r="Y8" i="1"/>
  <c r="Y9" i="1"/>
  <c r="Y10" i="1"/>
  <c r="Y11" i="1"/>
  <c r="Y12" i="1"/>
  <c r="Y13" i="1"/>
  <c r="Y14" i="1"/>
  <c r="Y15" i="1"/>
  <c r="U8" i="1"/>
  <c r="U9" i="1"/>
  <c r="U11" i="1"/>
  <c r="U12" i="1"/>
  <c r="U13" i="1"/>
  <c r="U14" i="1"/>
  <c r="U15" i="1"/>
  <c r="U10" i="1"/>
  <c r="I8" i="1"/>
  <c r="O8" i="1" s="1"/>
  <c r="P8" i="1" s="1"/>
  <c r="I9" i="1"/>
  <c r="O9" i="1" s="1"/>
  <c r="P9" i="1" s="1"/>
  <c r="I10" i="1"/>
  <c r="O10" i="1" s="1"/>
  <c r="E8" i="1"/>
  <c r="E9" i="1"/>
  <c r="S49" i="1"/>
  <c r="E24" i="1"/>
  <c r="E25" i="1"/>
  <c r="E26" i="1"/>
  <c r="E27" i="1"/>
  <c r="E28" i="1"/>
  <c r="E23" i="1"/>
  <c r="E36" i="1"/>
  <c r="E37" i="1"/>
  <c r="E38" i="1"/>
  <c r="E39" i="1"/>
  <c r="E40" i="1"/>
  <c r="E35" i="1"/>
  <c r="E11" i="1"/>
  <c r="E12" i="1"/>
  <c r="E13" i="1"/>
  <c r="E14" i="1"/>
  <c r="E15" i="1"/>
  <c r="E10" i="1"/>
  <c r="U36" i="1"/>
  <c r="U37" i="1"/>
  <c r="U38" i="1"/>
  <c r="U39" i="1"/>
  <c r="U40" i="1"/>
  <c r="U35" i="1"/>
  <c r="M36" i="1"/>
  <c r="M37" i="1"/>
  <c r="M38" i="1"/>
  <c r="M39" i="1"/>
  <c r="M40" i="1"/>
  <c r="M35" i="1"/>
  <c r="Y36" i="1"/>
  <c r="Y37" i="1"/>
  <c r="Y38" i="1"/>
  <c r="Y39" i="1"/>
  <c r="Y40" i="1"/>
  <c r="Y35" i="1"/>
  <c r="I36" i="1"/>
  <c r="O36" i="1" s="1"/>
  <c r="P36" i="1" s="1"/>
  <c r="I37" i="1"/>
  <c r="O37" i="1" s="1"/>
  <c r="P37" i="1" s="1"/>
  <c r="I38" i="1"/>
  <c r="O38" i="1" s="1"/>
  <c r="P38" i="1" s="1"/>
  <c r="I39" i="1"/>
  <c r="O39" i="1" s="1"/>
  <c r="P39" i="1" s="1"/>
  <c r="I40" i="1"/>
  <c r="O40" i="1" s="1"/>
  <c r="P40" i="1" s="1"/>
  <c r="I35" i="1"/>
  <c r="O35" i="1" s="1"/>
  <c r="P35" i="1" s="1"/>
  <c r="U24" i="1"/>
  <c r="U25" i="1"/>
  <c r="U26" i="1"/>
  <c r="U27" i="1"/>
  <c r="U28" i="1"/>
  <c r="U23" i="1"/>
  <c r="M28" i="1"/>
  <c r="M27" i="1"/>
  <c r="M26" i="1"/>
  <c r="M25" i="1"/>
  <c r="M24" i="1"/>
  <c r="I14" i="1"/>
  <c r="O14" i="1" s="1"/>
  <c r="I13" i="1"/>
  <c r="O13" i="1" s="1"/>
  <c r="I12" i="1"/>
  <c r="O12" i="1" s="1"/>
  <c r="I11" i="1"/>
  <c r="O11" i="1" s="1"/>
  <c r="I15" i="1"/>
  <c r="O15" i="1" s="1"/>
  <c r="AD34" i="1" l="1"/>
  <c r="AF34" i="1" s="1"/>
  <c r="AD33" i="1"/>
  <c r="AF33" i="1" s="1"/>
  <c r="AA15" i="1"/>
  <c r="P24" i="1"/>
  <c r="P23" i="1"/>
  <c r="AA8" i="1"/>
  <c r="AB8" i="1" s="1"/>
  <c r="AD8" i="1" s="1"/>
  <c r="AF8" i="1" s="1"/>
  <c r="AA9" i="1"/>
  <c r="AB9" i="1" s="1"/>
  <c r="AD9" i="1" s="1"/>
  <c r="AF9" i="1" s="1"/>
  <c r="P11" i="1"/>
  <c r="P12" i="1"/>
  <c r="AA40" i="1"/>
  <c r="AB40" i="1" s="1"/>
  <c r="AD40" i="1" s="1"/>
  <c r="AF40" i="1" s="1"/>
  <c r="AA36" i="1"/>
  <c r="AB36" i="1" s="1"/>
  <c r="AD36" i="1" s="1"/>
  <c r="AF36" i="1" s="1"/>
  <c r="AA37" i="1"/>
  <c r="AB37" i="1" s="1"/>
  <c r="AD37" i="1" s="1"/>
  <c r="AF37" i="1" s="1"/>
  <c r="AA35" i="1"/>
  <c r="AB35" i="1" s="1"/>
  <c r="AD35" i="1" s="1"/>
  <c r="AF35" i="1" s="1"/>
  <c r="AA27" i="1"/>
  <c r="AB27" i="1" s="1"/>
  <c r="AD27" i="1" s="1"/>
  <c r="AF27" i="1" s="1"/>
  <c r="AA39" i="1"/>
  <c r="AB39" i="1" s="1"/>
  <c r="AD39" i="1" s="1"/>
  <c r="AF39" i="1" s="1"/>
  <c r="AA38" i="1"/>
  <c r="AB38" i="1" s="1"/>
  <c r="AD38" i="1" s="1"/>
  <c r="AF38" i="1" s="1"/>
  <c r="AA11" i="1"/>
  <c r="AB11" i="1" s="1"/>
  <c r="AA28" i="1"/>
  <c r="AB28" i="1" s="1"/>
  <c r="AD28" i="1" s="1"/>
  <c r="AF28" i="1" s="1"/>
  <c r="AA14" i="1"/>
  <c r="AB14" i="1" s="1"/>
  <c r="AA23" i="1"/>
  <c r="AB23" i="1" s="1"/>
  <c r="AA26" i="1"/>
  <c r="AB26" i="1" s="1"/>
  <c r="AD26" i="1" s="1"/>
  <c r="AF26" i="1" s="1"/>
  <c r="AA25" i="1"/>
  <c r="AB25" i="1" s="1"/>
  <c r="AD25" i="1" s="1"/>
  <c r="AF25" i="1" s="1"/>
  <c r="AA12" i="1"/>
  <c r="AB12" i="1" s="1"/>
  <c r="AA10" i="1"/>
  <c r="AB10" i="1" s="1"/>
  <c r="AA13" i="1"/>
  <c r="AB13" i="1" s="1"/>
  <c r="AA24" i="1"/>
  <c r="AB24" i="1" s="1"/>
  <c r="AB15" i="1"/>
  <c r="P15" i="1"/>
  <c r="AD15" i="1" s="1"/>
  <c r="AF15" i="1" s="1"/>
  <c r="P14" i="1"/>
  <c r="P13" i="1"/>
  <c r="P10" i="1"/>
  <c r="AD23" i="1" l="1"/>
  <c r="AF23" i="1" s="1"/>
  <c r="AD24" i="1"/>
  <c r="AF24" i="1" s="1"/>
  <c r="AD11" i="1"/>
  <c r="AF11" i="1" s="1"/>
  <c r="AD12" i="1"/>
  <c r="AF12" i="1" s="1"/>
  <c r="AD14" i="1"/>
  <c r="AF14" i="1" s="1"/>
  <c r="AD13" i="1"/>
  <c r="AF13" i="1" s="1"/>
  <c r="AD10" i="1"/>
  <c r="AF10" i="1" s="1"/>
</calcChain>
</file>

<file path=xl/sharedStrings.xml><?xml version="1.0" encoding="utf-8"?>
<sst xmlns="http://schemas.openxmlformats.org/spreadsheetml/2006/main" count="32" uniqueCount="32">
  <si>
    <t>eta/eta_o</t>
  </si>
  <si>
    <t>AIR</t>
  </si>
  <si>
    <t>eta [g/(s.cm)]</t>
  </si>
  <si>
    <t>rho/rho_o</t>
  </si>
  <si>
    <t>rho [g.cm-3]</t>
  </si>
  <si>
    <t>Dv = eta/rho_o [cm2.s-1]</t>
  </si>
  <si>
    <t>Dv [m2.s-1]</t>
  </si>
  <si>
    <t>kappa/kappa_o</t>
  </si>
  <si>
    <t>kappa</t>
  </si>
  <si>
    <t>cp/R</t>
  </si>
  <si>
    <t>R [cal.mol-1.K-1]</t>
  </si>
  <si>
    <t>molecular weight [g/mol]</t>
  </si>
  <si>
    <t>cp   [cal.g-1.K-1]</t>
  </si>
  <si>
    <t>DT [m2.s-1]</t>
  </si>
  <si>
    <t>O2</t>
  </si>
  <si>
    <t>ratio DT/TV</t>
  </si>
  <si>
    <t>CO2</t>
  </si>
  <si>
    <t>DT = kappa.rho_o-1.Cp-1 [cm2.s-1]</t>
  </si>
  <si>
    <t>T [K]</t>
  </si>
  <si>
    <t>Prandtl = eta.Cp/kappa Dv/DT</t>
  </si>
  <si>
    <t>Values taken from Table of thermal properties of Gases</t>
  </si>
  <si>
    <t>cs/cs0</t>
  </si>
  <si>
    <t>cs[m.s-1]</t>
  </si>
  <si>
    <t>speed of sound</t>
  </si>
  <si>
    <t>density</t>
  </si>
  <si>
    <t>viscosity</t>
  </si>
  <si>
    <t>thermal conductivity</t>
  </si>
  <si>
    <t>specific heat</t>
  </si>
  <si>
    <t xml:space="preserve"> eta_o @275</t>
  </si>
  <si>
    <t>rho_o   [g.cm-3] @ 275</t>
  </si>
  <si>
    <t>cs0  @ 275</t>
  </si>
  <si>
    <t>kappa_o [cal/(cm.s.K)] @ 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</si>
</sst>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136D-8C31-4C7E-851C-BD62B4762C6F}">
  <dimension ref="A1:AI49"/>
  <sheetViews>
    <sheetView tabSelected="1" zoomScale="91" zoomScaleNormal="91" workbookViewId="0">
      <selection sqref="A1:AI1"/>
    </sheetView>
  </sheetViews>
  <sheetFormatPr defaultColWidth="9.109375" defaultRowHeight="14.4" x14ac:dyDescent="0.3"/>
  <cols>
    <col min="1" max="1" width="9.109375" style="1"/>
    <col min="2" max="2" width="2.6640625" style="1" customWidth="1"/>
    <col min="3" max="3" width="10.33203125" style="1" customWidth="1"/>
    <col min="4" max="4" width="9.109375" style="1" customWidth="1"/>
    <col min="5" max="5" width="10.33203125" style="1" customWidth="1"/>
    <col min="6" max="6" width="2.33203125" style="7" customWidth="1"/>
    <col min="7" max="7" width="9.5546875" style="1" customWidth="1"/>
    <col min="8" max="8" width="9" style="3" customWidth="1"/>
    <col min="9" max="9" width="11.109375" style="1" customWidth="1"/>
    <col min="10" max="10" width="6.109375" style="1" customWidth="1"/>
    <col min="11" max="11" width="10.88671875" style="1" customWidth="1"/>
    <col min="12" max="12" width="15" style="3" customWidth="1"/>
    <col min="13" max="13" width="13" style="1" customWidth="1"/>
    <col min="14" max="14" width="1.6640625" style="7" customWidth="1"/>
    <col min="15" max="15" width="15.6640625" style="1" customWidth="1"/>
    <col min="16" max="16" width="12.88671875" style="1" customWidth="1"/>
    <col min="17" max="17" width="1.88671875" style="7" customWidth="1"/>
    <col min="18" max="18" width="1.88671875" style="1" customWidth="1"/>
    <col min="19" max="19" width="20.5546875" style="1" customWidth="1"/>
    <col min="20" max="20" width="12" style="3" customWidth="1"/>
    <col min="21" max="22" width="9.109375" style="1"/>
    <col min="23" max="23" width="16.44140625" style="3" customWidth="1"/>
    <col min="24" max="24" width="11.88671875" style="3" customWidth="1"/>
    <col min="25" max="25" width="15.6640625" style="1" customWidth="1"/>
    <col min="26" max="26" width="3.33203125" style="9" customWidth="1"/>
    <col min="27" max="27" width="22.6640625" style="1" customWidth="1"/>
    <col min="28" max="28" width="13.44140625" style="1" customWidth="1"/>
    <col min="29" max="29" width="5.5546875" style="1" customWidth="1"/>
    <col min="30" max="30" width="9.88671875" style="1" customWidth="1"/>
    <col min="31" max="31" width="5.6640625" style="1" customWidth="1"/>
    <col min="32" max="32" width="20.44140625" style="12" customWidth="1"/>
    <col min="33" max="16384" width="9.109375" style="1"/>
  </cols>
  <sheetData>
    <row r="1" spans="1:35" ht="29.25" customHeight="1" x14ac:dyDescent="0.3">
      <c r="A1" s="41" t="s">
        <v>20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ht="29.25" customHeight="1" x14ac:dyDescent="0.3">
      <c r="A2" s="14"/>
      <c r="B2" s="14"/>
      <c r="C2" s="42" t="s">
        <v>23</v>
      </c>
      <c r="D2" s="43"/>
      <c r="E2" s="44"/>
      <c r="F2" s="20"/>
      <c r="G2" s="42" t="s">
        <v>25</v>
      </c>
      <c r="H2" s="43"/>
      <c r="I2" s="44"/>
      <c r="J2" s="14"/>
      <c r="K2" s="42" t="s">
        <v>24</v>
      </c>
      <c r="L2" s="43"/>
      <c r="M2" s="44"/>
      <c r="N2" s="14"/>
      <c r="O2" s="14"/>
      <c r="P2" s="14"/>
      <c r="Q2" s="14"/>
      <c r="R2" s="14"/>
      <c r="S2" s="42" t="s">
        <v>26</v>
      </c>
      <c r="T2" s="43"/>
      <c r="U2" s="44"/>
      <c r="V2" s="42" t="s">
        <v>27</v>
      </c>
      <c r="W2" s="43"/>
      <c r="X2" s="43"/>
      <c r="Y2" s="4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s="15" customFormat="1" ht="48" customHeight="1" x14ac:dyDescent="0.3">
      <c r="C3" s="21" t="s">
        <v>21</v>
      </c>
      <c r="D3" s="16" t="s">
        <v>30</v>
      </c>
      <c r="E3" s="22" t="s">
        <v>22</v>
      </c>
      <c r="F3" s="17"/>
      <c r="G3" s="21" t="s">
        <v>0</v>
      </c>
      <c r="H3" s="16" t="s">
        <v>28</v>
      </c>
      <c r="I3" s="22" t="s">
        <v>2</v>
      </c>
      <c r="K3" s="21" t="s">
        <v>3</v>
      </c>
      <c r="L3" s="16" t="s">
        <v>29</v>
      </c>
      <c r="M3" s="22" t="s">
        <v>4</v>
      </c>
      <c r="N3" s="17"/>
      <c r="O3" s="15" t="s">
        <v>5</v>
      </c>
      <c r="P3" s="15" t="s">
        <v>6</v>
      </c>
      <c r="Q3" s="17"/>
      <c r="S3" s="21" t="s">
        <v>7</v>
      </c>
      <c r="T3" s="16" t="s">
        <v>31</v>
      </c>
      <c r="U3" s="22" t="s">
        <v>8</v>
      </c>
      <c r="V3" s="21" t="s">
        <v>9</v>
      </c>
      <c r="W3" s="16" t="s">
        <v>10</v>
      </c>
      <c r="X3" s="16" t="s">
        <v>11</v>
      </c>
      <c r="Y3" s="22" t="s">
        <v>12</v>
      </c>
      <c r="Z3" s="18"/>
      <c r="AA3" s="15" t="s">
        <v>17</v>
      </c>
      <c r="AB3" s="15" t="s">
        <v>13</v>
      </c>
      <c r="AD3" s="15" t="s">
        <v>15</v>
      </c>
      <c r="AF3" s="19" t="s">
        <v>19</v>
      </c>
    </row>
    <row r="4" spans="1:35" s="5" customFormat="1" ht="15" customHeight="1" x14ac:dyDescent="0.3">
      <c r="C4" s="23"/>
      <c r="E4" s="25"/>
      <c r="F4" s="6"/>
      <c r="G4" s="23"/>
      <c r="H4" s="24"/>
      <c r="I4" s="25"/>
      <c r="K4" s="23"/>
      <c r="L4" s="24"/>
      <c r="M4" s="25"/>
      <c r="N4" s="6"/>
      <c r="Q4" s="6"/>
      <c r="S4" s="23"/>
      <c r="T4" s="24"/>
      <c r="U4" s="25"/>
      <c r="V4" s="23"/>
      <c r="W4" s="24"/>
      <c r="X4" s="24"/>
      <c r="Y4" s="25"/>
      <c r="Z4" s="8"/>
      <c r="AF4" s="40"/>
    </row>
    <row r="5" spans="1:35" s="11" customFormat="1" ht="5.25" customHeight="1" x14ac:dyDescent="0.3">
      <c r="C5" s="26"/>
      <c r="E5" s="28"/>
      <c r="F5" s="7"/>
      <c r="G5" s="26"/>
      <c r="H5" s="27"/>
      <c r="I5" s="28"/>
      <c r="K5" s="26"/>
      <c r="L5" s="27"/>
      <c r="M5" s="28"/>
      <c r="S5" s="26"/>
      <c r="T5" s="27"/>
      <c r="U5" s="28"/>
      <c r="V5" s="26"/>
      <c r="W5" s="27"/>
      <c r="X5" s="27"/>
      <c r="Y5" s="28"/>
    </row>
    <row r="6" spans="1:35" x14ac:dyDescent="0.3">
      <c r="A6" s="10" t="s">
        <v>1</v>
      </c>
      <c r="C6" s="29"/>
      <c r="E6" s="30"/>
      <c r="G6" s="29"/>
      <c r="I6" s="30"/>
      <c r="K6" s="29"/>
      <c r="M6" s="30"/>
      <c r="S6" s="29"/>
      <c r="U6" s="30"/>
      <c r="V6" s="29"/>
      <c r="Y6" s="30"/>
    </row>
    <row r="7" spans="1:35" x14ac:dyDescent="0.3">
      <c r="A7" s="4" t="s">
        <v>18</v>
      </c>
      <c r="C7" s="29"/>
      <c r="D7" s="3">
        <v>331.45</v>
      </c>
      <c r="E7" s="30"/>
      <c r="G7" s="29"/>
      <c r="H7" s="31">
        <v>1.716E-4</v>
      </c>
      <c r="I7" s="30"/>
      <c r="K7" s="29"/>
      <c r="L7" s="31">
        <v>1.2899999999999999E-3</v>
      </c>
      <c r="M7" s="30"/>
      <c r="S7" s="29"/>
      <c r="T7" s="31">
        <v>5.77E-5</v>
      </c>
      <c r="U7" s="30"/>
      <c r="V7" s="29"/>
      <c r="W7" s="3">
        <v>1.9870000000000001</v>
      </c>
      <c r="X7" s="3">
        <v>28.966000000000001</v>
      </c>
      <c r="Y7" s="30"/>
    </row>
    <row r="8" spans="1:35" x14ac:dyDescent="0.3">
      <c r="A8" s="4">
        <v>280</v>
      </c>
      <c r="C8" s="29">
        <v>1.0124</v>
      </c>
      <c r="D8" s="3"/>
      <c r="E8" s="30">
        <f t="shared" ref="E8:E9" si="0">C8*$D$7</f>
        <v>335.55998</v>
      </c>
      <c r="G8" s="29">
        <v>1.02</v>
      </c>
      <c r="H8" s="31"/>
      <c r="I8" s="32">
        <f t="shared" ref="I8:I9" si="1">G8*$H$7</f>
        <v>1.7503199999999999E-4</v>
      </c>
      <c r="K8" s="29">
        <v>0.97550000000000003</v>
      </c>
      <c r="L8" s="31"/>
      <c r="M8" s="32">
        <f t="shared" ref="M8:M9" si="2">K8*$L$7</f>
        <v>1.258395E-3</v>
      </c>
      <c r="O8" s="2">
        <f t="shared" ref="O8:O9" si="3">I8/$L$7</f>
        <v>0.13568372093023257</v>
      </c>
      <c r="P8" s="2">
        <f t="shared" ref="P8:P9" si="4">O8*0.0001</f>
        <v>1.3568372093023258E-5</v>
      </c>
      <c r="S8" s="29">
        <v>1.022</v>
      </c>
      <c r="T8" s="31"/>
      <c r="U8" s="32">
        <f t="shared" ref="U8:U9" si="5">S8*$T$7</f>
        <v>5.8969399999999998E-5</v>
      </c>
      <c r="V8" s="29">
        <v>3.5038</v>
      </c>
      <c r="Y8" s="30">
        <f t="shared" ref="Y8:Y15" si="6">V8*$W$7/$X$7</f>
        <v>0.24035250293447491</v>
      </c>
      <c r="AA8" s="2">
        <f t="shared" ref="AA8:AA15" si="7">U8/$L$7/Y8</f>
        <v>0.1901902939232416</v>
      </c>
      <c r="AB8" s="2">
        <f t="shared" ref="AB8:AB9" si="8">AA8*0.0001</f>
        <v>1.9019029392324161E-5</v>
      </c>
      <c r="AD8" s="2">
        <f t="shared" ref="AD8:AD15" si="9">AB8/P8</f>
        <v>1.4017178525125786</v>
      </c>
      <c r="AF8" s="13">
        <f t="shared" ref="AF8:AF9" si="10">1/AD8</f>
        <v>0.71341033304776735</v>
      </c>
    </row>
    <row r="9" spans="1:35" x14ac:dyDescent="0.3">
      <c r="A9" s="4">
        <v>290</v>
      </c>
      <c r="C9" s="29">
        <v>1.0303</v>
      </c>
      <c r="D9" s="3"/>
      <c r="E9" s="30">
        <f t="shared" si="0"/>
        <v>341.49293499999999</v>
      </c>
      <c r="G9" s="29">
        <v>1.048</v>
      </c>
      <c r="H9" s="31"/>
      <c r="I9" s="32">
        <f t="shared" si="1"/>
        <v>1.7983680000000001E-4</v>
      </c>
      <c r="K9" s="29">
        <v>0.94169999999999998</v>
      </c>
      <c r="L9" s="31"/>
      <c r="M9" s="32">
        <f t="shared" si="2"/>
        <v>1.2147929999999998E-3</v>
      </c>
      <c r="O9" s="2">
        <f t="shared" si="3"/>
        <v>0.13940837209302326</v>
      </c>
      <c r="P9" s="2">
        <f t="shared" si="4"/>
        <v>1.3940837209302326E-5</v>
      </c>
      <c r="S9" s="29">
        <v>1.0549999999999999</v>
      </c>
      <c r="T9" s="31"/>
      <c r="U9" s="32">
        <f t="shared" si="5"/>
        <v>6.0873499999999999E-5</v>
      </c>
      <c r="V9" s="29">
        <v>3.5047000000000001</v>
      </c>
      <c r="Y9" s="30">
        <f t="shared" si="6"/>
        <v>0.24041424083408136</v>
      </c>
      <c r="AA9" s="2">
        <f t="shared" si="7"/>
        <v>0.1962810502664406</v>
      </c>
      <c r="AB9" s="2">
        <f t="shared" si="8"/>
        <v>1.9628105026644061E-5</v>
      </c>
      <c r="AD9" s="2">
        <f t="shared" si="9"/>
        <v>1.40795740829301</v>
      </c>
      <c r="AF9" s="13">
        <f t="shared" si="10"/>
        <v>0.71024875760438488</v>
      </c>
    </row>
    <row r="10" spans="1:35" x14ac:dyDescent="0.3">
      <c r="A10" s="4">
        <v>300</v>
      </c>
      <c r="C10" s="29">
        <v>1.0479000000000001</v>
      </c>
      <c r="E10" s="30">
        <f>C10*$D$7</f>
        <v>347.32645500000001</v>
      </c>
      <c r="G10" s="29">
        <v>1.0760000000000001</v>
      </c>
      <c r="I10" s="32">
        <f>G10*$H$7</f>
        <v>1.846416E-4</v>
      </c>
      <c r="K10" s="29">
        <v>0.91020000000000001</v>
      </c>
      <c r="M10" s="32">
        <f>K10*$L$7</f>
        <v>1.174158E-3</v>
      </c>
      <c r="O10" s="2">
        <f>I10/$L$7</f>
        <v>0.14313302325581395</v>
      </c>
      <c r="P10" s="2">
        <f>O10*0.0001</f>
        <v>1.4313302325581395E-5</v>
      </c>
      <c r="S10" s="29">
        <v>1.087</v>
      </c>
      <c r="U10" s="32">
        <f>S10*$T$7</f>
        <v>6.2719900000000002E-5</v>
      </c>
      <c r="V10" s="29">
        <v>3.5059</v>
      </c>
      <c r="Y10" s="30">
        <f t="shared" si="6"/>
        <v>0.24049655803355657</v>
      </c>
      <c r="AA10" s="2">
        <f t="shared" si="7"/>
        <v>0.20216537782048369</v>
      </c>
      <c r="AB10" s="2">
        <f>AA10*0.0001</f>
        <v>2.0216537782048369E-5</v>
      </c>
      <c r="AD10" s="2">
        <f t="shared" si="9"/>
        <v>1.4124300124588607</v>
      </c>
      <c r="AF10" s="13">
        <f>1/AD10</f>
        <v>0.70799968223496423</v>
      </c>
    </row>
    <row r="11" spans="1:35" x14ac:dyDescent="0.3">
      <c r="A11" s="4">
        <v>320</v>
      </c>
      <c r="C11" s="29">
        <v>1.0821000000000001</v>
      </c>
      <c r="E11" s="30">
        <f t="shared" ref="E11:E15" si="11">C11*$D$7</f>
        <v>358.66204500000003</v>
      </c>
      <c r="G11" s="29">
        <v>1.1299999999999999</v>
      </c>
      <c r="I11" s="32">
        <f>G11*$H7</f>
        <v>1.9390799999999999E-4</v>
      </c>
      <c r="K11" s="29">
        <v>0.85319999999999996</v>
      </c>
      <c r="M11" s="32">
        <f t="shared" ref="M11:M15" si="12">K11*$L$7</f>
        <v>1.100628E-3</v>
      </c>
      <c r="O11" s="2">
        <f t="shared" ref="O11:O15" si="13">I11/$L$7</f>
        <v>0.15031627906976744</v>
      </c>
      <c r="P11" s="2">
        <f t="shared" ref="P11:P15" si="14">O11*0.0001</f>
        <v>1.5031627906976745E-5</v>
      </c>
      <c r="S11" s="29">
        <v>1.151</v>
      </c>
      <c r="U11" s="32">
        <f t="shared" ref="U11:U15" si="15">S11*$T$7</f>
        <v>6.6412699999999995E-5</v>
      </c>
      <c r="V11" s="29">
        <v>3.5091000000000001</v>
      </c>
      <c r="Y11" s="30">
        <f t="shared" si="6"/>
        <v>0.2407160705654906</v>
      </c>
      <c r="AA11" s="2">
        <f t="shared" si="7"/>
        <v>0.21387318701801378</v>
      </c>
      <c r="AB11" s="2">
        <f t="shared" ref="AB11:AB14" si="16">AA11*0.0001</f>
        <v>2.138731870180138E-5</v>
      </c>
      <c r="AD11" s="2">
        <f t="shared" si="9"/>
        <v>1.4228211897045908</v>
      </c>
      <c r="AF11" s="13">
        <f t="shared" ref="AF11:AF40" si="17">1/AD11</f>
        <v>0.70282900425992545</v>
      </c>
    </row>
    <row r="12" spans="1:35" x14ac:dyDescent="0.3">
      <c r="A12" s="4">
        <v>340</v>
      </c>
      <c r="C12" s="29">
        <v>1.1152</v>
      </c>
      <c r="E12" s="30">
        <f t="shared" si="11"/>
        <v>369.63303999999999</v>
      </c>
      <c r="G12" s="29">
        <v>1.1830000000000001</v>
      </c>
      <c r="I12" s="32">
        <f>G12*$H7</f>
        <v>2.0300280000000001E-4</v>
      </c>
      <c r="K12" s="29">
        <v>0.80289999999999995</v>
      </c>
      <c r="M12" s="32">
        <f t="shared" si="12"/>
        <v>1.035741E-3</v>
      </c>
      <c r="O12" s="2">
        <f t="shared" si="13"/>
        <v>0.15736651162790699</v>
      </c>
      <c r="P12" s="2">
        <f t="shared" si="14"/>
        <v>1.57366511627907E-5</v>
      </c>
      <c r="S12" s="29">
        <v>1.2130000000000001</v>
      </c>
      <c r="U12" s="32">
        <f t="shared" si="15"/>
        <v>6.9990100000000006E-5</v>
      </c>
      <c r="V12" s="29">
        <v>3.5133999999999999</v>
      </c>
      <c r="Y12" s="30">
        <f t="shared" si="6"/>
        <v>0.24101104053027686</v>
      </c>
      <c r="AA12" s="2">
        <f t="shared" si="7"/>
        <v>0.22511786743666776</v>
      </c>
      <c r="AB12" s="2">
        <f t="shared" si="16"/>
        <v>2.2511786743666778E-5</v>
      </c>
      <c r="AD12" s="2">
        <f t="shared" si="9"/>
        <v>1.4305322340051536</v>
      </c>
      <c r="AF12" s="13">
        <f t="shared" si="17"/>
        <v>0.69904052228186098</v>
      </c>
    </row>
    <row r="13" spans="1:35" x14ac:dyDescent="0.3">
      <c r="A13" s="4">
        <v>360</v>
      </c>
      <c r="C13" s="29">
        <v>1.1471</v>
      </c>
      <c r="E13" s="30">
        <f t="shared" si="11"/>
        <v>380.20629500000001</v>
      </c>
      <c r="G13" s="29">
        <v>1.234</v>
      </c>
      <c r="I13" s="32">
        <f>G13*$H7</f>
        <v>2.1175440000000001E-4</v>
      </c>
      <c r="K13" s="29">
        <v>0.75829999999999997</v>
      </c>
      <c r="M13" s="32">
        <f t="shared" si="12"/>
        <v>9.7820699999999982E-4</v>
      </c>
      <c r="O13" s="2">
        <f t="shared" si="13"/>
        <v>0.16415069767441862</v>
      </c>
      <c r="P13" s="2">
        <f t="shared" si="14"/>
        <v>1.6415069767441862E-5</v>
      </c>
      <c r="S13" s="29">
        <v>1.2749999999999999</v>
      </c>
      <c r="U13" s="32">
        <f t="shared" si="15"/>
        <v>7.356749999999999E-5</v>
      </c>
      <c r="V13" s="29">
        <v>3.5188000000000001</v>
      </c>
      <c r="Y13" s="30">
        <f t="shared" si="6"/>
        <v>0.24138146792791551</v>
      </c>
      <c r="AA13" s="2">
        <f t="shared" si="7"/>
        <v>0.23626117720218945</v>
      </c>
      <c r="AB13" s="2">
        <f t="shared" si="16"/>
        <v>2.3626117720218946E-5</v>
      </c>
      <c r="AD13" s="2">
        <f t="shared" si="9"/>
        <v>1.4392943834499985</v>
      </c>
      <c r="AF13" s="13">
        <f t="shared" si="17"/>
        <v>0.69478489702919088</v>
      </c>
    </row>
    <row r="14" spans="1:35" x14ac:dyDescent="0.3">
      <c r="A14" s="4">
        <v>380</v>
      </c>
      <c r="C14" s="29">
        <v>1.1781999999999999</v>
      </c>
      <c r="E14" s="30">
        <f t="shared" si="11"/>
        <v>390.51438999999993</v>
      </c>
      <c r="G14" s="29">
        <v>1.2829999999999999</v>
      </c>
      <c r="I14" s="32">
        <f>G14*H7</f>
        <v>2.2016279999999999E-4</v>
      </c>
      <c r="K14" s="29">
        <v>0.71830000000000005</v>
      </c>
      <c r="M14" s="32">
        <f t="shared" si="12"/>
        <v>9.2660699999999997E-4</v>
      </c>
      <c r="O14" s="2">
        <f t="shared" si="13"/>
        <v>0.17066883720930232</v>
      </c>
      <c r="P14" s="2">
        <f t="shared" si="14"/>
        <v>1.7066883720930234E-5</v>
      </c>
      <c r="S14" s="29">
        <v>1.335</v>
      </c>
      <c r="U14" s="32">
        <f t="shared" si="15"/>
        <v>7.7029499999999992E-5</v>
      </c>
      <c r="V14" s="29">
        <v>3.5255000000000001</v>
      </c>
      <c r="Y14" s="30">
        <f t="shared" si="6"/>
        <v>0.2418410722916523</v>
      </c>
      <c r="AA14" s="2">
        <f t="shared" si="7"/>
        <v>0.24690922072022065</v>
      </c>
      <c r="AB14" s="2">
        <f t="shared" si="16"/>
        <v>2.4690922072022064E-5</v>
      </c>
      <c r="AD14" s="2">
        <f t="shared" si="9"/>
        <v>1.4467153157985118</v>
      </c>
      <c r="AF14" s="13">
        <f t="shared" si="17"/>
        <v>0.69122099495300626</v>
      </c>
    </row>
    <row r="15" spans="1:35" x14ac:dyDescent="0.3">
      <c r="A15" s="4">
        <v>400</v>
      </c>
      <c r="C15" s="29">
        <v>1.2081999999999999</v>
      </c>
      <c r="E15" s="30">
        <f t="shared" si="11"/>
        <v>400.45788999999996</v>
      </c>
      <c r="G15" s="29">
        <v>1.3320000000000001</v>
      </c>
      <c r="I15" s="32">
        <f>G15*H7</f>
        <v>2.2857120000000002E-4</v>
      </c>
      <c r="K15" s="29">
        <v>0.68230000000000002</v>
      </c>
      <c r="M15" s="32">
        <f t="shared" si="12"/>
        <v>8.8016699999999995E-4</v>
      </c>
      <c r="O15" s="2">
        <f t="shared" si="13"/>
        <v>0.17718697674418607</v>
      </c>
      <c r="P15" s="2">
        <f t="shared" si="14"/>
        <v>1.7718697674418609E-5</v>
      </c>
      <c r="S15" s="29">
        <v>1.3939999999999999</v>
      </c>
      <c r="U15" s="32">
        <f t="shared" si="15"/>
        <v>8.0433799999999996E-5</v>
      </c>
      <c r="V15" s="29">
        <v>3.5329999999999999</v>
      </c>
      <c r="Y15" s="30">
        <f t="shared" si="6"/>
        <v>0.24235555478837259</v>
      </c>
      <c r="AA15" s="2">
        <f t="shared" si="7"/>
        <v>0.25727399976527326</v>
      </c>
      <c r="AB15" s="2">
        <f>AA15*0.0001</f>
        <v>2.5727399976527328E-5</v>
      </c>
      <c r="AD15" s="2">
        <f t="shared" si="9"/>
        <v>1.4519915881668488</v>
      </c>
      <c r="AF15" s="13">
        <f t="shared" si="17"/>
        <v>0.68870922404069035</v>
      </c>
    </row>
    <row r="16" spans="1:35" x14ac:dyDescent="0.3">
      <c r="C16" s="29"/>
      <c r="E16" s="30"/>
      <c r="G16" s="29"/>
      <c r="I16" s="30"/>
      <c r="K16" s="29"/>
      <c r="M16" s="30"/>
      <c r="S16" s="29"/>
      <c r="U16" s="30"/>
      <c r="V16" s="29"/>
      <c r="Y16" s="30"/>
      <c r="AD16" s="2"/>
      <c r="AF16" s="13"/>
    </row>
    <row r="17" spans="1:32" x14ac:dyDescent="0.3">
      <c r="C17" s="29"/>
      <c r="E17" s="30"/>
      <c r="G17" s="29"/>
      <c r="I17" s="30"/>
      <c r="K17" s="29"/>
      <c r="M17" s="30"/>
      <c r="S17" s="29"/>
      <c r="U17" s="30"/>
      <c r="V17" s="29"/>
      <c r="Y17" s="30"/>
      <c r="AD17" s="2"/>
      <c r="AF17" s="13"/>
    </row>
    <row r="18" spans="1:32" s="11" customFormat="1" ht="6" customHeight="1" x14ac:dyDescent="0.3">
      <c r="C18" s="26"/>
      <c r="E18" s="28"/>
      <c r="F18" s="7"/>
      <c r="G18" s="26"/>
      <c r="H18" s="27"/>
      <c r="I18" s="28"/>
      <c r="K18" s="26"/>
      <c r="L18" s="27"/>
      <c r="M18" s="28"/>
      <c r="S18" s="26"/>
      <c r="T18" s="27"/>
      <c r="U18" s="28"/>
      <c r="V18" s="26"/>
      <c r="W18" s="27"/>
      <c r="X18" s="27"/>
      <c r="Y18" s="28"/>
      <c r="AD18" s="39"/>
      <c r="AF18" s="39"/>
    </row>
    <row r="19" spans="1:32" x14ac:dyDescent="0.3">
      <c r="A19" s="10" t="s">
        <v>14</v>
      </c>
      <c r="C19" s="29"/>
      <c r="E19" s="30"/>
      <c r="G19" s="29"/>
      <c r="I19" s="30"/>
      <c r="K19" s="29"/>
      <c r="M19" s="30"/>
      <c r="S19" s="29"/>
      <c r="U19" s="30"/>
      <c r="V19" s="29"/>
      <c r="Y19" s="30"/>
      <c r="AD19" s="2"/>
      <c r="AF19" s="13"/>
    </row>
    <row r="20" spans="1:32" x14ac:dyDescent="0.3">
      <c r="C20" s="29"/>
      <c r="D20" s="3">
        <v>314.82</v>
      </c>
      <c r="E20" s="30"/>
      <c r="G20" s="29"/>
      <c r="H20" s="31">
        <v>1.9191999999999999E-4</v>
      </c>
      <c r="I20" s="30"/>
      <c r="K20" s="29"/>
      <c r="L20" s="31">
        <v>1.4289999999999999E-3</v>
      </c>
      <c r="M20" s="30"/>
      <c r="S20" s="29"/>
      <c r="T20" s="31">
        <v>5.8669999999999999E-5</v>
      </c>
      <c r="U20" s="30"/>
      <c r="V20" s="29"/>
      <c r="W20" s="3">
        <v>1.9870000000000001</v>
      </c>
      <c r="X20" s="3">
        <v>32</v>
      </c>
      <c r="Y20" s="30"/>
      <c r="AD20" s="2"/>
      <c r="AF20" s="13"/>
    </row>
    <row r="21" spans="1:32" x14ac:dyDescent="0.3">
      <c r="A21" s="4">
        <v>280</v>
      </c>
      <c r="C21" s="29">
        <v>1.012</v>
      </c>
      <c r="D21" s="3"/>
      <c r="E21" s="30">
        <f t="shared" ref="E21" si="18">C21*$D$20</f>
        <v>318.59784000000002</v>
      </c>
      <c r="G21" s="29">
        <v>1.0194000000000001</v>
      </c>
      <c r="H21" s="31"/>
      <c r="I21" s="32">
        <f t="shared" ref="I21:I22" si="19">G21*($H$20)</f>
        <v>1.95643248E-4</v>
      </c>
      <c r="K21" s="29">
        <v>0.97548000000000001</v>
      </c>
      <c r="L21" s="31"/>
      <c r="M21" s="32">
        <f t="shared" ref="M21:M22" si="20">K21*$L$20</f>
        <v>1.3939609199999999E-3</v>
      </c>
      <c r="O21" s="2">
        <f t="shared" ref="O21:O22" si="21">I21/$L$20</f>
        <v>0.13690920083974809</v>
      </c>
      <c r="P21" s="2">
        <f t="shared" ref="P21:P22" si="22">O21*0.0001</f>
        <v>1.3690920083974808E-5</v>
      </c>
      <c r="S21" s="29">
        <v>1.02</v>
      </c>
      <c r="T21" s="31"/>
      <c r="U21" s="32">
        <f t="shared" ref="U21:U22" si="23">S21*$T$20</f>
        <v>5.9843399999999997E-5</v>
      </c>
      <c r="V21" s="29">
        <v>3.5306999999999999</v>
      </c>
      <c r="Y21" s="30">
        <f t="shared" ref="Y21:Y22" si="24">V21*$W$20/$X$20</f>
        <v>0.219234403125</v>
      </c>
      <c r="AA21" s="2">
        <f t="shared" ref="AA21:AA22" si="25">U21/$L$20/Y21</f>
        <v>0.19101845357330252</v>
      </c>
      <c r="AB21" s="2">
        <f t="shared" ref="AB21:AB22" si="26">AA21*0.0001</f>
        <v>1.9101845357330255E-5</v>
      </c>
      <c r="AD21" s="2">
        <f t="shared" ref="AD21:AD22" si="27">AB21/P21</f>
        <v>1.395219988150316</v>
      </c>
      <c r="AF21" s="13">
        <f t="shared" si="17"/>
        <v>0.71673285108660845</v>
      </c>
    </row>
    <row r="22" spans="1:32" x14ac:dyDescent="0.3">
      <c r="A22" s="4">
        <v>290</v>
      </c>
      <c r="C22" s="29"/>
      <c r="D22" s="3"/>
      <c r="E22" s="30"/>
      <c r="G22" s="29">
        <v>1.0475000000000001</v>
      </c>
      <c r="H22" s="31"/>
      <c r="I22" s="32">
        <f t="shared" si="19"/>
        <v>2.0103620000000002E-4</v>
      </c>
      <c r="K22" s="29">
        <v>0.94172</v>
      </c>
      <c r="L22" s="31"/>
      <c r="M22" s="32">
        <f t="shared" si="20"/>
        <v>1.3457178799999999E-3</v>
      </c>
      <c r="O22" s="2">
        <f t="shared" si="21"/>
        <v>0.14068313505948218</v>
      </c>
      <c r="P22" s="2">
        <f t="shared" si="22"/>
        <v>1.4068313505948218E-5</v>
      </c>
      <c r="S22" s="29">
        <v>1.06</v>
      </c>
      <c r="T22" s="31"/>
      <c r="U22" s="32">
        <f t="shared" si="23"/>
        <v>6.21902E-5</v>
      </c>
      <c r="V22" s="29">
        <v>3.5352000000000001</v>
      </c>
      <c r="Y22" s="30">
        <f t="shared" si="24"/>
        <v>0.21951382500000002</v>
      </c>
      <c r="AA22" s="2">
        <f t="shared" si="25"/>
        <v>0.19825668827376844</v>
      </c>
      <c r="AB22" s="2">
        <f t="shared" si="26"/>
        <v>1.9825668827376844E-5</v>
      </c>
      <c r="AD22" s="2">
        <f t="shared" si="27"/>
        <v>1.409242751023025</v>
      </c>
      <c r="AF22" s="13">
        <f t="shared" si="17"/>
        <v>0.70960095361431552</v>
      </c>
    </row>
    <row r="23" spans="1:32" x14ac:dyDescent="0.3">
      <c r="A23" s="4">
        <v>300</v>
      </c>
      <c r="C23" s="29">
        <v>1.0469999999999999</v>
      </c>
      <c r="E23" s="30">
        <f>C23*$D$20</f>
        <v>329.61653999999999</v>
      </c>
      <c r="G23" s="29">
        <v>1.0750999999999999</v>
      </c>
      <c r="I23" s="32">
        <f>G23*($H$20)</f>
        <v>2.0633319199999997E-4</v>
      </c>
      <c r="K23" s="29">
        <v>0.91022999999999998</v>
      </c>
      <c r="M23" s="32">
        <f>K23*$L$20</f>
        <v>1.3007186699999999E-3</v>
      </c>
      <c r="O23" s="2">
        <f>I23/$L$20</f>
        <v>0.14438991742477256</v>
      </c>
      <c r="P23" s="2">
        <f>O23*0.0001</f>
        <v>1.4438991742477256E-5</v>
      </c>
      <c r="S23" s="29">
        <v>1.0900000000000001</v>
      </c>
      <c r="U23" s="32">
        <f>S23*$T$20</f>
        <v>6.3950300000000003E-5</v>
      </c>
      <c r="V23" s="29">
        <v>3.5402999999999998</v>
      </c>
      <c r="Y23" s="30">
        <f>V23*$W$20/$X$20</f>
        <v>0.21983050312499999</v>
      </c>
      <c r="AA23" s="2">
        <f t="shared" ref="AA23:AA28" si="28">U23/$L$20/Y23</f>
        <v>0.20357404376777435</v>
      </c>
      <c r="AB23" s="2">
        <f>AA23*0.0001</f>
        <v>2.0357404376777436E-5</v>
      </c>
      <c r="AD23" s="2">
        <f t="shared" ref="AD23:AD28" si="29">AB23/P23</f>
        <v>1.4098909909955233</v>
      </c>
      <c r="AF23" s="13">
        <f t="shared" si="17"/>
        <v>0.70927469314056724</v>
      </c>
    </row>
    <row r="24" spans="1:32" x14ac:dyDescent="0.3">
      <c r="A24" s="4">
        <v>320</v>
      </c>
      <c r="C24" s="29">
        <v>1.081</v>
      </c>
      <c r="E24" s="30">
        <f t="shared" ref="E24:E28" si="30">C24*$D$20</f>
        <v>340.32041999999996</v>
      </c>
      <c r="G24" s="29">
        <v>1.1294</v>
      </c>
      <c r="H24" s="38"/>
      <c r="I24" s="32">
        <f t="shared" ref="I24:I28" si="31">G24*($H$20)</f>
        <v>2.1675444799999999E-4</v>
      </c>
      <c r="K24" s="29">
        <v>0.85316999999999998</v>
      </c>
      <c r="M24" s="32">
        <f>K24*L20</f>
        <v>1.2191799299999999E-3</v>
      </c>
      <c r="O24" s="2">
        <f t="shared" ref="O24:O28" si="32">I24/$L$20</f>
        <v>0.15168260881735479</v>
      </c>
      <c r="P24" s="2">
        <f t="shared" ref="P24:P28" si="33">O24*0.0001</f>
        <v>1.516826088173548E-5</v>
      </c>
      <c r="S24" s="29">
        <v>1.1599999999999999</v>
      </c>
      <c r="U24" s="32">
        <f t="shared" ref="U24:U28" si="34">S24*$T$20</f>
        <v>6.8057199999999989E-5</v>
      </c>
      <c r="V24" s="29">
        <v>3.5527000000000002</v>
      </c>
      <c r="Y24" s="30">
        <f t="shared" ref="Y24:Y28" si="35">V24*$W$20/$X$20</f>
        <v>0.22060046562500002</v>
      </c>
      <c r="AA24" s="2">
        <f t="shared" si="28"/>
        <v>0.21589144038923738</v>
      </c>
      <c r="AB24" s="2">
        <f t="shared" ref="AB24:AB28" si="36">AA24*0.0001</f>
        <v>2.1589144038923739E-5</v>
      </c>
      <c r="AD24" s="2">
        <f t="shared" si="29"/>
        <v>1.4233104379764341</v>
      </c>
      <c r="AF24" s="13">
        <f t="shared" si="17"/>
        <v>0.70258741404421365</v>
      </c>
    </row>
    <row r="25" spans="1:32" x14ac:dyDescent="0.3">
      <c r="A25" s="4">
        <v>340</v>
      </c>
      <c r="C25" s="29">
        <v>1.1140000000000001</v>
      </c>
      <c r="E25" s="30">
        <f t="shared" si="30"/>
        <v>350.70948000000004</v>
      </c>
      <c r="G25" s="29">
        <v>1.1818</v>
      </c>
      <c r="I25" s="32">
        <f t="shared" si="31"/>
        <v>2.2681105599999999E-4</v>
      </c>
      <c r="K25" s="29">
        <v>0.80286999999999997</v>
      </c>
      <c r="M25" s="32">
        <f>K25*L20</f>
        <v>1.1473012299999998E-3</v>
      </c>
      <c r="O25" s="2">
        <f t="shared" si="32"/>
        <v>0.15872012316305109</v>
      </c>
      <c r="P25" s="2">
        <f t="shared" si="33"/>
        <v>1.5872012316305111E-5</v>
      </c>
      <c r="S25" s="29">
        <v>1.22</v>
      </c>
      <c r="U25" s="32">
        <f t="shared" si="34"/>
        <v>7.1577399999999997E-5</v>
      </c>
      <c r="V25" s="29">
        <v>3.5674999999999999</v>
      </c>
      <c r="Y25" s="30">
        <f t="shared" si="35"/>
        <v>0.22151945312500002</v>
      </c>
      <c r="AA25" s="2">
        <f t="shared" si="28"/>
        <v>0.2261162735254644</v>
      </c>
      <c r="AB25" s="2">
        <f t="shared" si="36"/>
        <v>2.2611627352546442E-5</v>
      </c>
      <c r="AD25" s="2">
        <f t="shared" si="29"/>
        <v>1.4246225936529682</v>
      </c>
      <c r="AF25" s="13">
        <f t="shared" si="17"/>
        <v>0.70194029243621248</v>
      </c>
    </row>
    <row r="26" spans="1:32" x14ac:dyDescent="0.3">
      <c r="A26" s="4">
        <v>360</v>
      </c>
      <c r="C26" s="29">
        <v>1.145</v>
      </c>
      <c r="E26" s="30">
        <f t="shared" si="30"/>
        <v>360.46890000000002</v>
      </c>
      <c r="G26" s="29">
        <v>1.2331000000000001</v>
      </c>
      <c r="I26" s="32">
        <f t="shared" si="31"/>
        <v>2.3665655200000001E-4</v>
      </c>
      <c r="K26" s="29">
        <v>0.75817999999999997</v>
      </c>
      <c r="M26" s="32">
        <f>K26*L20</f>
        <v>1.0834392199999998E-3</v>
      </c>
      <c r="O26" s="2">
        <f t="shared" si="32"/>
        <v>0.16560990342897133</v>
      </c>
      <c r="P26" s="2">
        <f t="shared" si="33"/>
        <v>1.6560990342897133E-5</v>
      </c>
      <c r="S26" s="29">
        <v>1.28</v>
      </c>
      <c r="U26" s="32">
        <f t="shared" si="34"/>
        <v>7.5097600000000004E-5</v>
      </c>
      <c r="V26" s="29">
        <v>3.5846</v>
      </c>
      <c r="Y26" s="30">
        <f t="shared" si="35"/>
        <v>0.22258125625</v>
      </c>
      <c r="AA26" s="2">
        <f t="shared" si="28"/>
        <v>0.23610503022187829</v>
      </c>
      <c r="AB26" s="2">
        <f t="shared" si="36"/>
        <v>2.361050302218783E-5</v>
      </c>
      <c r="AD26" s="2">
        <f t="shared" si="29"/>
        <v>1.4256697536397134</v>
      </c>
      <c r="AF26" s="13">
        <f t="shared" si="17"/>
        <v>0.70142471455750188</v>
      </c>
    </row>
    <row r="27" spans="1:32" x14ac:dyDescent="0.3">
      <c r="A27" s="4">
        <v>380</v>
      </c>
      <c r="C27" s="29">
        <v>1.175</v>
      </c>
      <c r="E27" s="30">
        <f t="shared" si="30"/>
        <v>369.9135</v>
      </c>
      <c r="G27" s="29">
        <v>1.2829999999999999</v>
      </c>
      <c r="I27" s="32">
        <f t="shared" si="31"/>
        <v>2.4623335999999997E-4</v>
      </c>
      <c r="K27" s="29">
        <v>0.71819999999999995</v>
      </c>
      <c r="M27" s="32">
        <f>K27*L20</f>
        <v>1.0263077999999998E-3</v>
      </c>
      <c r="O27" s="2">
        <f t="shared" si="32"/>
        <v>0.17231165850244926</v>
      </c>
      <c r="P27" s="2">
        <f t="shared" si="33"/>
        <v>1.7231165850244926E-5</v>
      </c>
      <c r="S27" s="29">
        <v>1.35</v>
      </c>
      <c r="U27" s="32">
        <f t="shared" si="34"/>
        <v>7.9204500000000004E-5</v>
      </c>
      <c r="V27" s="29">
        <v>3.6036000000000001</v>
      </c>
      <c r="Y27" s="30">
        <f t="shared" si="35"/>
        <v>0.22376103750000001</v>
      </c>
      <c r="AA27" s="2">
        <f t="shared" si="28"/>
        <v>0.24770408048982606</v>
      </c>
      <c r="AB27" s="2">
        <f t="shared" si="36"/>
        <v>2.4770408048982609E-5</v>
      </c>
      <c r="AD27" s="2">
        <f t="shared" si="29"/>
        <v>1.437535234949324</v>
      </c>
      <c r="AF27" s="13">
        <f t="shared" si="17"/>
        <v>0.6956351230133514</v>
      </c>
    </row>
    <row r="28" spans="1:32" x14ac:dyDescent="0.3">
      <c r="A28" s="4">
        <v>400</v>
      </c>
      <c r="C28" s="29">
        <v>1.204</v>
      </c>
      <c r="E28" s="30">
        <f t="shared" si="30"/>
        <v>379.04327999999998</v>
      </c>
      <c r="G28" s="29">
        <v>1.3315999999999999</v>
      </c>
      <c r="I28" s="32">
        <f t="shared" si="31"/>
        <v>2.5556067199999997E-4</v>
      </c>
      <c r="K28" s="29">
        <v>0.68225000000000002</v>
      </c>
      <c r="M28" s="32">
        <f>K28*L20</f>
        <v>9.7493524999999999E-4</v>
      </c>
      <c r="O28" s="2">
        <f t="shared" si="32"/>
        <v>0.17883881875437369</v>
      </c>
      <c r="P28" s="2">
        <f t="shared" si="33"/>
        <v>1.7883881875437368E-5</v>
      </c>
      <c r="S28" s="29">
        <v>1.41</v>
      </c>
      <c r="U28" s="32">
        <f t="shared" si="34"/>
        <v>8.2724699999999998E-5</v>
      </c>
      <c r="V28" s="29">
        <v>3.6242999999999999</v>
      </c>
      <c r="Y28" s="30">
        <f t="shared" si="35"/>
        <v>0.225046378125</v>
      </c>
      <c r="AA28" s="2">
        <f t="shared" si="28"/>
        <v>0.25723552409689809</v>
      </c>
      <c r="AB28" s="2">
        <f t="shared" si="36"/>
        <v>2.572355240968981E-5</v>
      </c>
      <c r="AD28" s="2">
        <f t="shared" si="29"/>
        <v>1.438365148509499</v>
      </c>
      <c r="AF28" s="13">
        <f t="shared" si="17"/>
        <v>0.69523375273396093</v>
      </c>
    </row>
    <row r="29" spans="1:32" x14ac:dyDescent="0.3">
      <c r="C29" s="29"/>
      <c r="E29" s="30"/>
      <c r="G29" s="29"/>
      <c r="I29" s="30"/>
      <c r="K29" s="29"/>
      <c r="M29" s="30"/>
      <c r="S29" s="29"/>
      <c r="U29" s="30"/>
      <c r="V29" s="29"/>
      <c r="Y29" s="30"/>
      <c r="AF29" s="13"/>
    </row>
    <row r="30" spans="1:32" s="11" customFormat="1" ht="6.75" customHeight="1" x14ac:dyDescent="0.3">
      <c r="C30" s="26"/>
      <c r="E30" s="28"/>
      <c r="F30" s="7"/>
      <c r="G30" s="26"/>
      <c r="H30" s="27"/>
      <c r="I30" s="28"/>
      <c r="K30" s="26"/>
      <c r="L30" s="27"/>
      <c r="M30" s="28"/>
      <c r="S30" s="26"/>
      <c r="T30" s="27"/>
      <c r="U30" s="28"/>
      <c r="V30" s="26"/>
      <c r="W30" s="27"/>
      <c r="X30" s="27"/>
      <c r="Y30" s="28"/>
      <c r="AF30" s="39"/>
    </row>
    <row r="31" spans="1:32" x14ac:dyDescent="0.3">
      <c r="A31" s="10" t="s">
        <v>16</v>
      </c>
      <c r="C31" s="29"/>
      <c r="E31" s="30"/>
      <c r="G31" s="29"/>
      <c r="I31" s="30"/>
      <c r="K31" s="29"/>
      <c r="M31" s="30"/>
      <c r="S31" s="29"/>
      <c r="U31" s="30"/>
      <c r="V31" s="29"/>
      <c r="Y31" s="30"/>
      <c r="AF31" s="13"/>
    </row>
    <row r="32" spans="1:32" x14ac:dyDescent="0.3">
      <c r="C32" s="29"/>
      <c r="D32" s="3">
        <v>257</v>
      </c>
      <c r="E32" s="30"/>
      <c r="G32" s="29"/>
      <c r="H32" s="31">
        <v>1.37E-4</v>
      </c>
      <c r="I32" s="30"/>
      <c r="K32" s="29"/>
      <c r="L32" s="31">
        <v>1.977E-3</v>
      </c>
      <c r="M32" s="30"/>
      <c r="S32" s="29"/>
      <c r="T32" s="31">
        <v>3.4770000000000001E-5</v>
      </c>
      <c r="U32" s="30"/>
      <c r="V32" s="29"/>
      <c r="W32" s="3">
        <v>1.9870000000000001</v>
      </c>
      <c r="X32" s="3">
        <v>44.011000000000003</v>
      </c>
      <c r="Y32" s="30"/>
      <c r="AF32" s="13"/>
    </row>
    <row r="33" spans="1:32" x14ac:dyDescent="0.3">
      <c r="A33" s="4">
        <v>280</v>
      </c>
      <c r="C33" s="29">
        <v>1.0109999999999999</v>
      </c>
      <c r="D33" s="3"/>
      <c r="E33" s="30">
        <f t="shared" ref="E33:E34" si="37">C33*$D$32</f>
        <v>259.827</v>
      </c>
      <c r="G33" s="29">
        <v>1.024</v>
      </c>
      <c r="H33" s="31"/>
      <c r="I33" s="32">
        <f t="shared" ref="I33:I34" si="38">G33*$H$32</f>
        <v>1.40288E-4</v>
      </c>
      <c r="K33" s="29">
        <v>0.97499999999999998</v>
      </c>
      <c r="L33" s="31"/>
      <c r="M33" s="32">
        <f t="shared" ref="M33:M34" si="39">K33*$L$32</f>
        <v>1.9275749999999999E-3</v>
      </c>
      <c r="O33" s="2">
        <f t="shared" ref="O33:O34" si="40">I33/$L$32</f>
        <v>7.0960040465351537E-2</v>
      </c>
      <c r="P33" s="2">
        <f t="shared" ref="P33:P34" si="41">O33*0.0001</f>
        <v>7.0960040465351537E-6</v>
      </c>
      <c r="S33" s="29">
        <v>1.0349999999999999</v>
      </c>
      <c r="T33" s="31"/>
      <c r="U33" s="32">
        <f t="shared" ref="U33:U34" si="42">S33*$T$32</f>
        <v>3.5986949999999996E-5</v>
      </c>
      <c r="V33" s="29">
        <v>4.4109999999999996</v>
      </c>
      <c r="Y33" s="30">
        <f t="shared" ref="Y33:Y34" si="43">V33*$W$32/$X$32</f>
        <v>0.19914696325918518</v>
      </c>
      <c r="AA33" s="2">
        <f t="shared" ref="AA33:AA34" si="44">U33/$L$32/Y33</f>
        <v>9.1403890804364119E-2</v>
      </c>
      <c r="AB33" s="2">
        <f t="shared" ref="AB33:AB34" si="45">AA33*0.0001</f>
        <v>9.1403890804364117E-6</v>
      </c>
      <c r="AD33" s="2">
        <f t="shared" ref="AD33:AD34" si="46">AB33/P33</f>
        <v>1.2881037018150368</v>
      </c>
      <c r="AF33" s="13">
        <f t="shared" si="17"/>
        <v>0.77633500982174297</v>
      </c>
    </row>
    <row r="34" spans="1:32" x14ac:dyDescent="0.3">
      <c r="A34" s="4">
        <v>290</v>
      </c>
      <c r="C34" s="29">
        <v>1.028</v>
      </c>
      <c r="D34" s="3"/>
      <c r="E34" s="30">
        <f t="shared" si="37"/>
        <v>264.19600000000003</v>
      </c>
      <c r="G34" s="29">
        <v>1.0580000000000001</v>
      </c>
      <c r="H34" s="31"/>
      <c r="I34" s="32">
        <f t="shared" si="38"/>
        <v>1.4494599999999999E-4</v>
      </c>
      <c r="K34" s="29">
        <v>0.94069999999999998</v>
      </c>
      <c r="L34" s="31"/>
      <c r="M34" s="32">
        <f t="shared" si="39"/>
        <v>1.8597639E-3</v>
      </c>
      <c r="O34" s="2">
        <f t="shared" si="40"/>
        <v>7.3316135558927659E-2</v>
      </c>
      <c r="P34" s="2">
        <f t="shared" si="41"/>
        <v>7.3316135558927663E-6</v>
      </c>
      <c r="S34" s="29">
        <v>1.087</v>
      </c>
      <c r="T34" s="31"/>
      <c r="U34" s="32">
        <f t="shared" si="42"/>
        <v>3.7794989999999999E-5</v>
      </c>
      <c r="V34" s="29">
        <v>4.4619999999999997</v>
      </c>
      <c r="Y34" s="30">
        <f t="shared" si="43"/>
        <v>0.20144950126104838</v>
      </c>
      <c r="AA34" s="2">
        <f t="shared" si="44"/>
        <v>9.4898941628710168E-2</v>
      </c>
      <c r="AB34" s="2">
        <f t="shared" si="45"/>
        <v>9.4898941628710177E-6</v>
      </c>
      <c r="AD34" s="2">
        <f t="shared" si="46"/>
        <v>1.2943800284241029</v>
      </c>
      <c r="AF34" s="13">
        <f t="shared" si="17"/>
        <v>0.77257063462072406</v>
      </c>
    </row>
    <row r="35" spans="1:32" x14ac:dyDescent="0.3">
      <c r="A35" s="4">
        <v>300</v>
      </c>
      <c r="C35" s="29">
        <v>1.044</v>
      </c>
      <c r="E35" s="30">
        <f>C35*$D$32</f>
        <v>268.30799999999999</v>
      </c>
      <c r="G35" s="29">
        <v>1.091</v>
      </c>
      <c r="I35" s="32">
        <f>G35*$H$32</f>
        <v>1.49467E-4</v>
      </c>
      <c r="K35" s="29">
        <v>0.90859999999999996</v>
      </c>
      <c r="M35" s="32">
        <f>K35*$L$32</f>
        <v>1.7963021999999999E-3</v>
      </c>
      <c r="O35" s="2">
        <f>I35/$L$32</f>
        <v>7.5602933737986849E-2</v>
      </c>
      <c r="P35" s="2">
        <f>O35*0.0001</f>
        <v>7.560293373798685E-6</v>
      </c>
      <c r="S35" s="29">
        <v>1.139</v>
      </c>
      <c r="U35" s="32">
        <f>S35*$T$32</f>
        <v>3.9603030000000002E-5</v>
      </c>
      <c r="V35" s="29">
        <v>4.5129999999999999</v>
      </c>
      <c r="Y35" s="30">
        <f t="shared" ref="Y35:Y40" si="47">V35*$W$32/$X$32</f>
        <v>0.20375203926291152</v>
      </c>
      <c r="AA35" s="2">
        <f t="shared" ref="AA35:AA40" si="48">U35/$L$32/Y35</f>
        <v>9.8314999502893768E-2</v>
      </c>
      <c r="AB35" s="2">
        <f>AA35*0.0001</f>
        <v>9.8314999502893768E-6</v>
      </c>
      <c r="AD35" s="2">
        <f t="shared" ref="AD35:AD40" si="49">AB35/P35</f>
        <v>1.3004124925048404</v>
      </c>
      <c r="AF35" s="13">
        <f t="shared" si="17"/>
        <v>0.76898676824752032</v>
      </c>
    </row>
    <row r="36" spans="1:32" x14ac:dyDescent="0.3">
      <c r="A36" s="4">
        <v>320</v>
      </c>
      <c r="C36" s="29">
        <v>1.075</v>
      </c>
      <c r="E36" s="30">
        <f t="shared" ref="E36:E40" si="50">C36*$D$32</f>
        <v>276.27499999999998</v>
      </c>
      <c r="G36" s="29">
        <v>1.1579999999999999</v>
      </c>
      <c r="I36" s="32">
        <f t="shared" ref="I36:I40" si="51">G36*$H$32</f>
        <v>1.5864599999999997E-4</v>
      </c>
      <c r="K36" s="29">
        <v>0.85119999999999996</v>
      </c>
      <c r="M36" s="32">
        <f t="shared" ref="M36:M40" si="52">K36*$L$32</f>
        <v>1.6828224E-3</v>
      </c>
      <c r="O36" s="2">
        <f t="shared" ref="O36:O40" si="53">I36/$L$32</f>
        <v>8.0245827010622134E-2</v>
      </c>
      <c r="P36" s="2">
        <f t="shared" ref="P36:P40" si="54">O36*0.0001</f>
        <v>8.0245827010622146E-6</v>
      </c>
      <c r="S36" s="29">
        <v>1.242</v>
      </c>
      <c r="U36" s="32">
        <f t="shared" ref="U36:U40" si="55">S36*$T$32</f>
        <v>4.3184340000000002E-5</v>
      </c>
      <c r="V36" s="29">
        <v>4.6130000000000004</v>
      </c>
      <c r="Y36" s="30">
        <f t="shared" si="47"/>
        <v>0.20826681965872171</v>
      </c>
      <c r="AA36" s="2">
        <f t="shared" si="48"/>
        <v>0.10488165506300892</v>
      </c>
      <c r="AB36" s="2">
        <f t="shared" ref="AB36:AB40" si="56">AA36*0.0001</f>
        <v>1.0488165506300893E-5</v>
      </c>
      <c r="AD36" s="2">
        <f t="shared" si="49"/>
        <v>1.3070044757483243</v>
      </c>
      <c r="AF36" s="13">
        <f t="shared" si="17"/>
        <v>0.76510832101584869</v>
      </c>
    </row>
    <row r="37" spans="1:32" x14ac:dyDescent="0.3">
      <c r="A37" s="4">
        <v>340</v>
      </c>
      <c r="C37" s="29">
        <v>1.105</v>
      </c>
      <c r="E37" s="30">
        <f t="shared" si="50"/>
        <v>283.98500000000001</v>
      </c>
      <c r="G37" s="29">
        <v>1.224</v>
      </c>
      <c r="I37" s="32">
        <f t="shared" si="51"/>
        <v>1.6768799999999998E-4</v>
      </c>
      <c r="K37" s="29">
        <v>0.80049999999999999</v>
      </c>
      <c r="M37" s="32">
        <f t="shared" si="52"/>
        <v>1.5825885E-3</v>
      </c>
      <c r="O37" s="2">
        <f t="shared" si="53"/>
        <v>8.4819423368740501E-2</v>
      </c>
      <c r="P37" s="2">
        <f t="shared" si="54"/>
        <v>8.4819423368740502E-6</v>
      </c>
      <c r="S37" s="29">
        <v>1.3520000000000001</v>
      </c>
      <c r="U37" s="32">
        <f t="shared" si="55"/>
        <v>4.7009040000000006E-5</v>
      </c>
      <c r="V37" s="29">
        <v>4.7110000000000003</v>
      </c>
      <c r="Y37" s="30">
        <f t="shared" si="47"/>
        <v>0.21269130444661563</v>
      </c>
      <c r="AA37" s="2">
        <f t="shared" si="48"/>
        <v>0.11179566874137593</v>
      </c>
      <c r="AB37" s="2">
        <f t="shared" si="56"/>
        <v>1.1179566874137594E-5</v>
      </c>
      <c r="AD37" s="2">
        <f t="shared" si="49"/>
        <v>1.3180432535524322</v>
      </c>
      <c r="AF37" s="13">
        <f t="shared" si="17"/>
        <v>0.7587004427242946</v>
      </c>
    </row>
    <row r="38" spans="1:32" x14ac:dyDescent="0.3">
      <c r="A38" s="4">
        <v>360</v>
      </c>
      <c r="C38" s="29">
        <v>1.1339999999999999</v>
      </c>
      <c r="E38" s="30">
        <f t="shared" si="50"/>
        <v>291.43799999999999</v>
      </c>
      <c r="G38" s="29">
        <v>1.2869999999999999</v>
      </c>
      <c r="I38" s="32">
        <f t="shared" si="51"/>
        <v>1.7631899999999998E-4</v>
      </c>
      <c r="K38" s="29">
        <v>0.75560000000000005</v>
      </c>
      <c r="M38" s="32">
        <f t="shared" si="52"/>
        <v>1.4938212000000001E-3</v>
      </c>
      <c r="O38" s="2">
        <f t="shared" si="53"/>
        <v>8.9185128983308035E-2</v>
      </c>
      <c r="P38" s="2">
        <f t="shared" si="54"/>
        <v>8.9185128983308047E-6</v>
      </c>
      <c r="S38" s="29">
        <v>1.464</v>
      </c>
      <c r="U38" s="32">
        <f t="shared" si="55"/>
        <v>5.0903280000000003E-5</v>
      </c>
      <c r="V38" s="29">
        <v>4.8049999999999997</v>
      </c>
      <c r="Y38" s="30">
        <f t="shared" si="47"/>
        <v>0.21693519801867714</v>
      </c>
      <c r="AA38" s="2">
        <f t="shared" si="48"/>
        <v>0.11868861869186292</v>
      </c>
      <c r="AB38" s="2">
        <f t="shared" si="56"/>
        <v>1.1868861869186294E-5</v>
      </c>
      <c r="AD38" s="2">
        <f t="shared" si="49"/>
        <v>1.3308117625089355</v>
      </c>
      <c r="AF38" s="13">
        <f t="shared" si="17"/>
        <v>0.75142107108726852</v>
      </c>
    </row>
    <row r="39" spans="1:32" x14ac:dyDescent="0.3">
      <c r="A39" s="4">
        <v>380</v>
      </c>
      <c r="C39" s="29">
        <v>1.163</v>
      </c>
      <c r="E39" s="30">
        <f t="shared" si="50"/>
        <v>298.89100000000002</v>
      </c>
      <c r="G39" s="29">
        <v>1.349</v>
      </c>
      <c r="I39" s="32">
        <f t="shared" si="51"/>
        <v>1.8481299999999998E-4</v>
      </c>
      <c r="K39" s="29">
        <v>0.71550000000000002</v>
      </c>
      <c r="M39" s="32">
        <f t="shared" si="52"/>
        <v>1.4145435E-3</v>
      </c>
      <c r="O39" s="2">
        <f t="shared" si="53"/>
        <v>9.3481537683358609E-2</v>
      </c>
      <c r="P39" s="2">
        <f t="shared" si="54"/>
        <v>9.348153768335861E-6</v>
      </c>
      <c r="S39" s="29">
        <v>1.5760000000000001</v>
      </c>
      <c r="U39" s="32">
        <f t="shared" si="55"/>
        <v>5.4797520000000007E-5</v>
      </c>
      <c r="V39" s="29">
        <v>4.8959999999999999</v>
      </c>
      <c r="Y39" s="30">
        <f t="shared" si="47"/>
        <v>0.22104364817886438</v>
      </c>
      <c r="AA39" s="2">
        <f t="shared" si="48"/>
        <v>0.12539383786523298</v>
      </c>
      <c r="AB39" s="2">
        <f t="shared" si="56"/>
        <v>1.2539383786523298E-5</v>
      </c>
      <c r="AD39" s="2">
        <f t="shared" si="49"/>
        <v>1.3413754306221188</v>
      </c>
      <c r="AF39" s="13">
        <f t="shared" si="17"/>
        <v>0.74550344159517534</v>
      </c>
    </row>
    <row r="40" spans="1:32" x14ac:dyDescent="0.3">
      <c r="A40" s="4">
        <v>400</v>
      </c>
      <c r="C40" s="33">
        <v>1.1910000000000001</v>
      </c>
      <c r="D40" s="36"/>
      <c r="E40" s="37">
        <f t="shared" si="50"/>
        <v>306.08699999999999</v>
      </c>
      <c r="G40" s="33">
        <v>1.41</v>
      </c>
      <c r="H40" s="34"/>
      <c r="I40" s="35">
        <f t="shared" si="51"/>
        <v>1.9317E-4</v>
      </c>
      <c r="K40" s="33">
        <v>0.6794</v>
      </c>
      <c r="L40" s="34"/>
      <c r="M40" s="35">
        <f t="shared" si="52"/>
        <v>1.3431738000000001E-3</v>
      </c>
      <c r="O40" s="2">
        <f t="shared" si="53"/>
        <v>9.7708649468892253E-2</v>
      </c>
      <c r="P40" s="2">
        <f t="shared" si="54"/>
        <v>9.7708649468892258E-6</v>
      </c>
      <c r="S40" s="33">
        <v>1.6910000000000001</v>
      </c>
      <c r="T40" s="34"/>
      <c r="U40" s="35">
        <f t="shared" si="55"/>
        <v>5.8796070000000002E-5</v>
      </c>
      <c r="V40" s="33">
        <v>4.984</v>
      </c>
      <c r="W40" s="34"/>
      <c r="X40" s="34"/>
      <c r="Y40" s="37">
        <f t="shared" si="47"/>
        <v>0.22501665492717732</v>
      </c>
      <c r="AA40" s="2">
        <f t="shared" si="48"/>
        <v>0.13216819676368102</v>
      </c>
      <c r="AB40" s="2">
        <f t="shared" si="56"/>
        <v>1.3216819676368103E-5</v>
      </c>
      <c r="AD40" s="2">
        <f t="shared" si="49"/>
        <v>1.3526765284557509</v>
      </c>
      <c r="AF40" s="13">
        <f t="shared" si="17"/>
        <v>0.73927504393206611</v>
      </c>
    </row>
    <row r="49" spans="19:19" x14ac:dyDescent="0.3">
      <c r="S49" s="1">
        <f>25*0.6</f>
        <v>15</v>
      </c>
    </row>
  </sheetData>
  <mergeCells count="6">
    <mergeCell ref="A1:AI1"/>
    <mergeCell ref="S2:U2"/>
    <mergeCell ref="C2:E2"/>
    <mergeCell ref="G2:I2"/>
    <mergeCell ref="K2:M2"/>
    <mergeCell ref="V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Lancia, Livia</dc:creator>
  <cp:lastModifiedBy>Oudin, Albertine</cp:lastModifiedBy>
  <dcterms:created xsi:type="dcterms:W3CDTF">2024-07-29T21:28:49Z</dcterms:created>
  <dcterms:modified xsi:type="dcterms:W3CDTF">2024-09-06T22:12:03Z</dcterms:modified>
</cp:coreProperties>
</file>